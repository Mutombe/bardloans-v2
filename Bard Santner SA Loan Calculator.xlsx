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RD MEDIA 3\Downloads\"/>
    </mc:Choice>
  </mc:AlternateContent>
  <xr:revisionPtr revIDLastSave="0" documentId="8_{1191ECD3-ADD7-441A-9630-4067C83B244A}" xr6:coauthVersionLast="47" xr6:coauthVersionMax="47" xr10:uidLastSave="{00000000-0000-0000-0000-000000000000}"/>
  <bookViews>
    <workbookView xWindow="-110" yWindow="-110" windowWidth="19420" windowHeight="10300" xr2:uid="{781EAA07-3CB5-4540-9066-CD656C18D94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D3" i="1"/>
  <c r="D4" i="1"/>
  <c r="D5" i="1"/>
  <c r="D6" i="1"/>
  <c r="D7" i="1"/>
  <c r="D8" i="1"/>
  <c r="D9" i="1"/>
  <c r="D10" i="1"/>
  <c r="D11" i="1"/>
  <c r="D12" i="1"/>
  <c r="G12" i="1" s="1"/>
  <c r="D13" i="1"/>
  <c r="D14" i="1"/>
  <c r="D15" i="1"/>
  <c r="D16" i="1"/>
  <c r="D17" i="1"/>
  <c r="D18" i="1"/>
  <c r="D19" i="1"/>
  <c r="D20" i="1"/>
  <c r="D2" i="1"/>
  <c r="C2" i="1"/>
  <c r="F2" i="1" s="1"/>
  <c r="E2" i="1"/>
  <c r="C3" i="1"/>
  <c r="F3" i="1" s="1"/>
  <c r="E3" i="1"/>
  <c r="C4" i="1"/>
  <c r="E4" i="1"/>
  <c r="C5" i="1"/>
  <c r="E5" i="1"/>
  <c r="C6" i="1"/>
  <c r="E6" i="1"/>
  <c r="C7" i="1"/>
  <c r="E7" i="1"/>
  <c r="C8" i="1"/>
  <c r="E8" i="1"/>
  <c r="F8" i="1"/>
  <c r="C9" i="1"/>
  <c r="E9" i="1"/>
  <c r="C10" i="1"/>
  <c r="E10" i="1"/>
  <c r="C11" i="1"/>
  <c r="E11" i="1"/>
  <c r="E13" i="1"/>
  <c r="E14" i="1"/>
  <c r="E15" i="1"/>
  <c r="E16" i="1"/>
  <c r="E17" i="1"/>
  <c r="E18" i="1"/>
  <c r="E19" i="1"/>
  <c r="E20" i="1"/>
  <c r="E12" i="1"/>
  <c r="C12" i="1"/>
  <c r="C13" i="1"/>
  <c r="C14" i="1"/>
  <c r="C15" i="1"/>
  <c r="C16" i="1"/>
  <c r="C17" i="1"/>
  <c r="C18" i="1"/>
  <c r="C19" i="1"/>
  <c r="C20" i="1"/>
  <c r="F6" i="1" l="1"/>
  <c r="F5" i="1"/>
  <c r="F11" i="1"/>
  <c r="F9" i="1"/>
  <c r="G18" i="1"/>
  <c r="M18" i="1" s="1"/>
  <c r="N18" i="1" s="1"/>
  <c r="F4" i="1"/>
  <c r="F10" i="1"/>
  <c r="F7" i="1"/>
  <c r="F12" i="1"/>
  <c r="K12" i="1" s="1"/>
  <c r="L12" i="1" s="1"/>
  <c r="F19" i="1"/>
  <c r="K19" i="1" s="1"/>
  <c r="L19" i="1" s="1"/>
  <c r="G14" i="1"/>
  <c r="H14" i="1" s="1"/>
  <c r="G17" i="1"/>
  <c r="M17" i="1" s="1"/>
  <c r="N17" i="1" s="1"/>
  <c r="G20" i="1"/>
  <c r="H20" i="1" s="1"/>
  <c r="I18" i="1"/>
  <c r="O18" i="1" s="1"/>
  <c r="P18" i="1" s="1"/>
  <c r="G16" i="1"/>
  <c r="H16" i="1" s="1"/>
  <c r="G15" i="1"/>
  <c r="M15" i="1" s="1"/>
  <c r="N15" i="1" s="1"/>
  <c r="G19" i="1"/>
  <c r="H19" i="1" s="1"/>
  <c r="I17" i="1"/>
  <c r="J17" i="1" s="1"/>
  <c r="F20" i="1"/>
  <c r="K20" i="1" s="1"/>
  <c r="L20" i="1" s="1"/>
  <c r="F18" i="1"/>
  <c r="K18" i="1" s="1"/>
  <c r="L18" i="1" s="1"/>
  <c r="G13" i="1"/>
  <c r="H13" i="1" s="1"/>
  <c r="F17" i="1"/>
  <c r="K17" i="1" s="1"/>
  <c r="L17" i="1" s="1"/>
  <c r="F16" i="1"/>
  <c r="K16" i="1" s="1"/>
  <c r="L16" i="1" s="1"/>
  <c r="I20" i="1"/>
  <c r="I14" i="1"/>
  <c r="F15" i="1"/>
  <c r="K15" i="1" s="1"/>
  <c r="L15" i="1" s="1"/>
  <c r="I15" i="1"/>
  <c r="F14" i="1"/>
  <c r="K14" i="1" s="1"/>
  <c r="L14" i="1" s="1"/>
  <c r="I12" i="1"/>
  <c r="F13" i="1"/>
  <c r="K13" i="1" s="1"/>
  <c r="L13" i="1" s="1"/>
  <c r="I19" i="1"/>
  <c r="I16" i="1"/>
  <c r="I13" i="1"/>
  <c r="H18" i="1" l="1"/>
  <c r="M20" i="1"/>
  <c r="N20" i="1" s="1"/>
  <c r="M16" i="1"/>
  <c r="N16" i="1" s="1"/>
  <c r="J18" i="1"/>
  <c r="H17" i="1"/>
  <c r="M14" i="1"/>
  <c r="N14" i="1" s="1"/>
  <c r="H15" i="1"/>
  <c r="M19" i="1"/>
  <c r="N19" i="1" s="1"/>
  <c r="O17" i="1"/>
  <c r="P17" i="1" s="1"/>
  <c r="M13" i="1"/>
  <c r="N13" i="1" s="1"/>
  <c r="O14" i="1"/>
  <c r="P14" i="1" s="1"/>
  <c r="J14" i="1"/>
  <c r="O20" i="1"/>
  <c r="P20" i="1" s="1"/>
  <c r="J20" i="1"/>
  <c r="O13" i="1"/>
  <c r="P13" i="1" s="1"/>
  <c r="J13" i="1"/>
  <c r="O16" i="1"/>
  <c r="P16" i="1" s="1"/>
  <c r="J16" i="1"/>
  <c r="O19" i="1"/>
  <c r="P19" i="1" s="1"/>
  <c r="J19" i="1"/>
  <c r="J12" i="1"/>
  <c r="O12" i="1"/>
  <c r="P12" i="1" s="1"/>
  <c r="H12" i="1"/>
  <c r="M12" i="1"/>
  <c r="N12" i="1" s="1"/>
  <c r="O15" i="1"/>
  <c r="P15" i="1" s="1"/>
  <c r="J15" i="1"/>
</calcChain>
</file>

<file path=xl/sharedStrings.xml><?xml version="1.0" encoding="utf-8"?>
<sst xmlns="http://schemas.openxmlformats.org/spreadsheetml/2006/main" count="68" uniqueCount="63">
  <si>
    <t>Loan</t>
  </si>
  <si>
    <t>Item</t>
  </si>
  <si>
    <t>Interest</t>
  </si>
  <si>
    <t>Initiation fee</t>
  </si>
  <si>
    <t>Monthly Service Fee</t>
  </si>
  <si>
    <t>Credit Life</t>
  </si>
  <si>
    <t>Maximum Allowed</t>
  </si>
  <si>
    <t>5% per month</t>
  </si>
  <si>
    <t>R60 per month</t>
  </si>
  <si>
    <t>As per policy</t>
  </si>
  <si>
    <t>R165+10% - above R1000  (max R1050)</t>
  </si>
  <si>
    <t>Month to month (Repeated Every  Month)</t>
  </si>
  <si>
    <t>Per Loan (R3000/1 Month)</t>
  </si>
  <si>
    <t>Initiation</t>
  </si>
  <si>
    <t>Service fee</t>
  </si>
  <si>
    <t>Total income per loan</t>
  </si>
  <si>
    <t>OPTION 1</t>
  </si>
  <si>
    <t>OPTION 2</t>
  </si>
  <si>
    <t>Quaterly ( 3 Months)</t>
  </si>
  <si>
    <t>If same client borrows every month:</t>
  </si>
  <si>
    <t>R575 X 3months = R1,725 per client ,per quarter</t>
  </si>
  <si>
    <t>For 100 clients</t>
  </si>
  <si>
    <t>quartely gross revenue</t>
  </si>
  <si>
    <t>3 Months loans per quarter</t>
  </si>
  <si>
    <t>Per Loan (R3000/3 Months)</t>
  </si>
  <si>
    <t>Service fees</t>
  </si>
  <si>
    <t>Total income</t>
  </si>
  <si>
    <t>Per client per quarter</t>
  </si>
  <si>
    <t>For 100 Clients:</t>
  </si>
  <si>
    <t>Quaterly gross revenue</t>
  </si>
  <si>
    <t>per client per quarter</t>
  </si>
  <si>
    <t>RESULT</t>
  </si>
  <si>
    <t>Model</t>
  </si>
  <si>
    <t xml:space="preserve">1-Month Repeating </t>
  </si>
  <si>
    <t>3-Month Fixed</t>
  </si>
  <si>
    <t>Quarterly Revenue (100 clients)</t>
  </si>
  <si>
    <t>The Real Business Truth</t>
  </si>
  <si>
    <t>1- month loans</t>
  </si>
  <si>
    <t>3 Months loans</t>
  </si>
  <si>
    <t>Higher revenue</t>
  </si>
  <si>
    <t>Faster cash cycles</t>
  </si>
  <si>
    <t>More admin</t>
  </si>
  <si>
    <t>Higher affordability risk</t>
  </si>
  <si>
    <t>Clients may become over - indebted</t>
  </si>
  <si>
    <t>Stable</t>
  </si>
  <si>
    <t>Predictable cashflow</t>
  </si>
  <si>
    <t>Less admin</t>
  </si>
  <si>
    <t>Better employer relationship</t>
  </si>
  <si>
    <t>Lower compliance risk</t>
  </si>
  <si>
    <t xml:space="preserve">Effective Interest </t>
  </si>
  <si>
    <t>Effective Interest</t>
  </si>
  <si>
    <t>Intiation fee 5% once off</t>
  </si>
  <si>
    <t>Service fee 10% per month</t>
  </si>
  <si>
    <t>Interest 5% per month</t>
  </si>
  <si>
    <t>Monthly Instalment</t>
  </si>
  <si>
    <t>Monthly Installment</t>
  </si>
  <si>
    <t>Revenue 1 month</t>
  </si>
  <si>
    <t>Revenue 2 Months</t>
  </si>
  <si>
    <t>Revenue 3 months</t>
  </si>
  <si>
    <t>Agenct Commission 2.5% once off</t>
  </si>
  <si>
    <t xml:space="preserve">Total Installment (1 month) </t>
  </si>
  <si>
    <t>Total Installments (2 months)</t>
  </si>
  <si>
    <t>Total Installments (3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</si>
</sst>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&quot;#,##0;[Red]\-&quot;R&quot;#,##0"/>
    <numFmt numFmtId="165" formatCode="&quot;R&quot;#,##0.00;[Red]\-&quot;R&quot;#,##0.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0" applyFont="1"/>
    <xf numFmtId="43" fontId="0" fillId="0" borderId="0" xfId="1" applyFont="1"/>
    <xf numFmtId="9" fontId="0" fillId="0" borderId="0" xfId="2" applyFont="1"/>
    <xf numFmtId="0" fontId="4" fillId="0" borderId="0" xfId="0" applyFont="1"/>
    <xf numFmtId="0" fontId="4" fillId="0" borderId="0" xfId="0" applyFont="1" applyAlignment="1">
      <alignment wrapText="1"/>
    </xf>
    <xf numFmtId="43" fontId="4" fillId="0" borderId="0" xfId="1" applyFont="1" applyAlignment="1">
      <alignment wrapText="1"/>
    </xf>
    <xf numFmtId="2" fontId="0" fillId="0" borderId="0" xfId="0" applyNumberFormat="1"/>
    <xf numFmtId="9" fontId="0" fillId="0" borderId="0" xfId="2" applyFont="1" applyFill="1"/>
    <xf numFmtId="2" fontId="0" fillId="2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9975-38D2-4E70-B7AA-556463E3E304}">
  <dimension ref="A1:P20"/>
  <sheetViews>
    <sheetView tabSelected="1" topLeftCell="B1" workbookViewId="0">
      <selection activeCell="M2" sqref="M2"/>
    </sheetView>
  </sheetViews>
  <sheetFormatPr defaultRowHeight="14.5" x14ac:dyDescent="0.35"/>
  <cols>
    <col min="1" max="1" width="14.90625" bestFit="1" customWidth="1"/>
    <col min="2" max="2" width="17.6328125" bestFit="1" customWidth="1"/>
    <col min="3" max="3" width="15.1796875" customWidth="1"/>
    <col min="4" max="4" width="14.453125" customWidth="1"/>
    <col min="5" max="5" width="17.6328125" customWidth="1"/>
    <col min="6" max="6" width="15.6328125" customWidth="1"/>
    <col min="7" max="7" width="16" customWidth="1"/>
    <col min="8" max="8" width="17" bestFit="1" customWidth="1"/>
    <col min="9" max="9" width="16" customWidth="1"/>
    <col min="10" max="10" width="14.6328125" style="5" customWidth="1"/>
    <col min="11" max="11" width="13" customWidth="1"/>
    <col min="12" max="12" width="11.54296875" customWidth="1"/>
    <col min="13" max="13" width="11.81640625" customWidth="1"/>
    <col min="14" max="14" width="13" customWidth="1"/>
    <col min="15" max="15" width="12.453125" customWidth="1"/>
    <col min="16" max="16" width="11.6328125" customWidth="1"/>
  </cols>
  <sheetData>
    <row r="1" spans="1:16" s="7" customFormat="1" ht="29" x14ac:dyDescent="0.35">
      <c r="A1" s="7" t="s">
        <v>0</v>
      </c>
      <c r="B1" s="8" t="s">
        <v>59</v>
      </c>
      <c r="C1" s="8" t="s">
        <v>53</v>
      </c>
      <c r="D1" s="8" t="s">
        <v>51</v>
      </c>
      <c r="E1" s="8" t="s">
        <v>52</v>
      </c>
      <c r="F1" s="8" t="s">
        <v>60</v>
      </c>
      <c r="G1" s="8" t="s">
        <v>61</v>
      </c>
      <c r="H1" s="8" t="s">
        <v>54</v>
      </c>
      <c r="I1" s="8" t="s">
        <v>62</v>
      </c>
      <c r="J1" s="9" t="s">
        <v>55</v>
      </c>
      <c r="K1" s="8" t="s">
        <v>56</v>
      </c>
      <c r="L1" s="8" t="s">
        <v>49</v>
      </c>
      <c r="M1" s="8" t="s">
        <v>57</v>
      </c>
      <c r="N1" s="8" t="s">
        <v>50</v>
      </c>
      <c r="O1" s="8" t="s">
        <v>58</v>
      </c>
      <c r="P1" s="8" t="s">
        <v>49</v>
      </c>
    </row>
    <row r="2" spans="1:16" x14ac:dyDescent="0.35">
      <c r="A2" s="10">
        <v>500</v>
      </c>
      <c r="B2" s="12">
        <f>0.025*A2</f>
        <v>12.5</v>
      </c>
      <c r="C2" s="10">
        <f>0.05*A2</f>
        <v>25</v>
      </c>
      <c r="D2" s="10">
        <f>0.05*A2</f>
        <v>25</v>
      </c>
      <c r="E2" s="10">
        <f>0.1*A2</f>
        <v>50</v>
      </c>
      <c r="F2" s="10">
        <f>A2+C2+D2+E2</f>
        <v>600</v>
      </c>
    </row>
    <row r="3" spans="1:16" x14ac:dyDescent="0.35">
      <c r="A3" s="10">
        <v>550</v>
      </c>
      <c r="B3" s="12">
        <f t="shared" ref="B3:B20" si="0">0.025*A3</f>
        <v>13.75</v>
      </c>
      <c r="C3" s="10">
        <f t="shared" ref="C3:C11" si="1">0.05*A3</f>
        <v>27.5</v>
      </c>
      <c r="D3" s="10">
        <f t="shared" ref="D3:D20" si="2">0.05*A3</f>
        <v>27.5</v>
      </c>
      <c r="E3" s="10">
        <f t="shared" ref="E3:E11" si="3">0.1*A3</f>
        <v>55</v>
      </c>
      <c r="F3" s="10">
        <f t="shared" ref="F3:F11" si="4">A3+C3+D3+E3</f>
        <v>660</v>
      </c>
    </row>
    <row r="4" spans="1:16" x14ac:dyDescent="0.35">
      <c r="A4" s="10">
        <v>600</v>
      </c>
      <c r="B4" s="12">
        <f t="shared" si="0"/>
        <v>15</v>
      </c>
      <c r="C4" s="10">
        <f t="shared" si="1"/>
        <v>30</v>
      </c>
      <c r="D4" s="10">
        <f t="shared" si="2"/>
        <v>30</v>
      </c>
      <c r="E4" s="10">
        <f t="shared" si="3"/>
        <v>60</v>
      </c>
      <c r="F4" s="10">
        <f t="shared" si="4"/>
        <v>720</v>
      </c>
    </row>
    <row r="5" spans="1:16" x14ac:dyDescent="0.35">
      <c r="A5" s="10">
        <v>650</v>
      </c>
      <c r="B5" s="12">
        <f t="shared" si="0"/>
        <v>16.25</v>
      </c>
      <c r="C5" s="10">
        <f t="shared" si="1"/>
        <v>32.5</v>
      </c>
      <c r="D5" s="10">
        <f t="shared" si="2"/>
        <v>32.5</v>
      </c>
      <c r="E5" s="10">
        <f t="shared" si="3"/>
        <v>65</v>
      </c>
      <c r="F5" s="10">
        <f t="shared" si="4"/>
        <v>780</v>
      </c>
    </row>
    <row r="6" spans="1:16" x14ac:dyDescent="0.35">
      <c r="A6" s="10">
        <v>700</v>
      </c>
      <c r="B6" s="12">
        <f t="shared" si="0"/>
        <v>17.5</v>
      </c>
      <c r="C6" s="10">
        <f t="shared" si="1"/>
        <v>35</v>
      </c>
      <c r="D6" s="10">
        <f t="shared" si="2"/>
        <v>35</v>
      </c>
      <c r="E6" s="10">
        <f t="shared" si="3"/>
        <v>70</v>
      </c>
      <c r="F6" s="10">
        <f t="shared" si="4"/>
        <v>840</v>
      </c>
    </row>
    <row r="7" spans="1:16" x14ac:dyDescent="0.35">
      <c r="A7" s="10">
        <v>750</v>
      </c>
      <c r="B7" s="12">
        <f t="shared" si="0"/>
        <v>18.75</v>
      </c>
      <c r="C7" s="10">
        <f t="shared" si="1"/>
        <v>37.5</v>
      </c>
      <c r="D7" s="10">
        <f t="shared" si="2"/>
        <v>37.5</v>
      </c>
      <c r="E7" s="10">
        <f t="shared" si="3"/>
        <v>75</v>
      </c>
      <c r="F7" s="10">
        <f t="shared" si="4"/>
        <v>900</v>
      </c>
    </row>
    <row r="8" spans="1:16" x14ac:dyDescent="0.35">
      <c r="A8" s="10">
        <v>800</v>
      </c>
      <c r="B8" s="12">
        <f t="shared" si="0"/>
        <v>20</v>
      </c>
      <c r="C8" s="10">
        <f t="shared" si="1"/>
        <v>40</v>
      </c>
      <c r="D8" s="10">
        <f t="shared" si="2"/>
        <v>40</v>
      </c>
      <c r="E8" s="10">
        <f t="shared" si="3"/>
        <v>80</v>
      </c>
      <c r="F8" s="10">
        <f t="shared" si="4"/>
        <v>960</v>
      </c>
    </row>
    <row r="9" spans="1:16" x14ac:dyDescent="0.35">
      <c r="A9" s="10">
        <v>850</v>
      </c>
      <c r="B9" s="12">
        <f t="shared" si="0"/>
        <v>21.25</v>
      </c>
      <c r="C9" s="10">
        <f t="shared" si="1"/>
        <v>42.5</v>
      </c>
      <c r="D9" s="10">
        <f t="shared" si="2"/>
        <v>42.5</v>
      </c>
      <c r="E9" s="10">
        <f t="shared" si="3"/>
        <v>85</v>
      </c>
      <c r="F9" s="10">
        <f t="shared" si="4"/>
        <v>1020</v>
      </c>
    </row>
    <row r="10" spans="1:16" x14ac:dyDescent="0.35">
      <c r="A10" s="10">
        <v>900</v>
      </c>
      <c r="B10" s="12">
        <f t="shared" si="0"/>
        <v>22.5</v>
      </c>
      <c r="C10" s="10">
        <f t="shared" si="1"/>
        <v>45</v>
      </c>
      <c r="D10" s="10">
        <f t="shared" si="2"/>
        <v>45</v>
      </c>
      <c r="E10" s="10">
        <f t="shared" si="3"/>
        <v>90</v>
      </c>
      <c r="F10" s="10">
        <f t="shared" si="4"/>
        <v>1080</v>
      </c>
    </row>
    <row r="11" spans="1:16" x14ac:dyDescent="0.35">
      <c r="A11" s="10">
        <v>950</v>
      </c>
      <c r="B11" s="12">
        <f t="shared" si="0"/>
        <v>23.75</v>
      </c>
      <c r="C11" s="10">
        <f t="shared" si="1"/>
        <v>47.5</v>
      </c>
      <c r="D11" s="10">
        <f t="shared" si="2"/>
        <v>47.5</v>
      </c>
      <c r="E11" s="10">
        <f t="shared" si="3"/>
        <v>95</v>
      </c>
      <c r="F11" s="10">
        <f t="shared" si="4"/>
        <v>1140</v>
      </c>
    </row>
    <row r="12" spans="1:16" x14ac:dyDescent="0.35">
      <c r="A12" s="10">
        <v>1000</v>
      </c>
      <c r="B12" s="12">
        <f t="shared" si="0"/>
        <v>25</v>
      </c>
      <c r="C12" s="10">
        <f t="shared" ref="C12:C20" si="5">0.05*A12</f>
        <v>50</v>
      </c>
      <c r="D12" s="10">
        <f t="shared" si="2"/>
        <v>50</v>
      </c>
      <c r="E12" s="10">
        <f t="shared" ref="E12:E20" si="6">0.1*A12</f>
        <v>100</v>
      </c>
      <c r="F12" s="10">
        <f t="shared" ref="F12:F20" si="7">A12+C12+D12+E12</f>
        <v>1200</v>
      </c>
      <c r="G12" s="10">
        <f t="shared" ref="G12:G20" si="8">A12+C12*2+D12+E12*2</f>
        <v>1350</v>
      </c>
      <c r="H12" s="10">
        <f>G12/2</f>
        <v>675</v>
      </c>
      <c r="I12" s="10">
        <f t="shared" ref="I12:I20" si="9">A12+C12*3+D12+E12*3</f>
        <v>1500</v>
      </c>
      <c r="J12" s="5">
        <f>I12/3</f>
        <v>500</v>
      </c>
      <c r="K12" s="10">
        <f t="shared" ref="K12:K20" si="10">F12-A12</f>
        <v>200</v>
      </c>
      <c r="L12" s="6">
        <f t="shared" ref="L12:L20" si="11">K12/A12</f>
        <v>0.2</v>
      </c>
      <c r="M12" s="10">
        <f t="shared" ref="M12:M20" si="12">G12-A12</f>
        <v>350</v>
      </c>
      <c r="N12" s="6">
        <f t="shared" ref="N12:N20" si="13">M12/A12</f>
        <v>0.35</v>
      </c>
      <c r="O12" s="10">
        <f t="shared" ref="O12:O20" si="14">I12-A12</f>
        <v>500</v>
      </c>
      <c r="P12" s="6">
        <f t="shared" ref="P12:P20" si="15">O12/A12</f>
        <v>0.5</v>
      </c>
    </row>
    <row r="13" spans="1:16" x14ac:dyDescent="0.35">
      <c r="A13" s="10">
        <v>1500</v>
      </c>
      <c r="B13" s="12">
        <f t="shared" si="0"/>
        <v>37.5</v>
      </c>
      <c r="C13" s="10">
        <f t="shared" si="5"/>
        <v>75</v>
      </c>
      <c r="D13" s="10">
        <f t="shared" si="2"/>
        <v>75</v>
      </c>
      <c r="E13" s="10">
        <f t="shared" si="6"/>
        <v>150</v>
      </c>
      <c r="F13" s="10">
        <f t="shared" si="7"/>
        <v>1800</v>
      </c>
      <c r="G13" s="10">
        <f t="shared" si="8"/>
        <v>2025</v>
      </c>
      <c r="H13" s="10">
        <f t="shared" ref="H13:H20" si="16">G13/2</f>
        <v>1012.5</v>
      </c>
      <c r="I13" s="10">
        <f t="shared" si="9"/>
        <v>2250</v>
      </c>
      <c r="J13" s="5">
        <f t="shared" ref="J13:J20" si="17">I13/3</f>
        <v>750</v>
      </c>
      <c r="K13" s="10">
        <f t="shared" si="10"/>
        <v>300</v>
      </c>
      <c r="L13" s="6">
        <f t="shared" si="11"/>
        <v>0.2</v>
      </c>
      <c r="M13" s="10">
        <f t="shared" si="12"/>
        <v>525</v>
      </c>
      <c r="N13" s="6">
        <f t="shared" si="13"/>
        <v>0.35</v>
      </c>
      <c r="O13" s="10">
        <f t="shared" si="14"/>
        <v>750</v>
      </c>
      <c r="P13" s="6">
        <f t="shared" si="15"/>
        <v>0.5</v>
      </c>
    </row>
    <row r="14" spans="1:16" x14ac:dyDescent="0.35">
      <c r="A14" s="10">
        <v>2000</v>
      </c>
      <c r="B14" s="12">
        <f t="shared" si="0"/>
        <v>50</v>
      </c>
      <c r="C14" s="10">
        <f t="shared" si="5"/>
        <v>100</v>
      </c>
      <c r="D14" s="10">
        <f t="shared" si="2"/>
        <v>100</v>
      </c>
      <c r="E14" s="10">
        <f t="shared" si="6"/>
        <v>200</v>
      </c>
      <c r="F14" s="10">
        <f t="shared" si="7"/>
        <v>2400</v>
      </c>
      <c r="G14" s="10">
        <f t="shared" si="8"/>
        <v>2700</v>
      </c>
      <c r="H14" s="10">
        <f t="shared" si="16"/>
        <v>1350</v>
      </c>
      <c r="I14" s="10">
        <f t="shared" si="9"/>
        <v>3000</v>
      </c>
      <c r="J14" s="5">
        <f t="shared" si="17"/>
        <v>1000</v>
      </c>
      <c r="K14" s="10">
        <f t="shared" si="10"/>
        <v>400</v>
      </c>
      <c r="L14" s="6">
        <f t="shared" si="11"/>
        <v>0.2</v>
      </c>
      <c r="M14" s="10">
        <f t="shared" si="12"/>
        <v>700</v>
      </c>
      <c r="N14" s="6">
        <f t="shared" si="13"/>
        <v>0.35</v>
      </c>
      <c r="O14" s="10">
        <f t="shared" si="14"/>
        <v>1000</v>
      </c>
      <c r="P14" s="6">
        <f t="shared" si="15"/>
        <v>0.5</v>
      </c>
    </row>
    <row r="15" spans="1:16" x14ac:dyDescent="0.35">
      <c r="A15" s="10">
        <v>2500</v>
      </c>
      <c r="B15" s="12">
        <f t="shared" si="0"/>
        <v>62.5</v>
      </c>
      <c r="C15" s="10">
        <f t="shared" si="5"/>
        <v>125</v>
      </c>
      <c r="D15" s="10">
        <f t="shared" si="2"/>
        <v>125</v>
      </c>
      <c r="E15" s="10">
        <f t="shared" si="6"/>
        <v>250</v>
      </c>
      <c r="F15" s="10">
        <f t="shared" si="7"/>
        <v>3000</v>
      </c>
      <c r="G15" s="10">
        <f t="shared" si="8"/>
        <v>3375</v>
      </c>
      <c r="H15" s="10">
        <f t="shared" si="16"/>
        <v>1687.5</v>
      </c>
      <c r="I15" s="10">
        <f t="shared" si="9"/>
        <v>3750</v>
      </c>
      <c r="J15" s="5">
        <f t="shared" si="17"/>
        <v>1250</v>
      </c>
      <c r="K15" s="10">
        <f t="shared" si="10"/>
        <v>500</v>
      </c>
      <c r="L15" s="6">
        <f t="shared" si="11"/>
        <v>0.2</v>
      </c>
      <c r="M15" s="10">
        <f t="shared" si="12"/>
        <v>875</v>
      </c>
      <c r="N15" s="6">
        <f t="shared" si="13"/>
        <v>0.35</v>
      </c>
      <c r="O15" s="10">
        <f t="shared" si="14"/>
        <v>1250</v>
      </c>
      <c r="P15" s="6">
        <f t="shared" si="15"/>
        <v>0.5</v>
      </c>
    </row>
    <row r="16" spans="1:16" x14ac:dyDescent="0.35">
      <c r="A16" s="10">
        <v>3000</v>
      </c>
      <c r="B16" s="12">
        <f t="shared" si="0"/>
        <v>75</v>
      </c>
      <c r="C16" s="10">
        <f t="shared" si="5"/>
        <v>150</v>
      </c>
      <c r="D16" s="10">
        <f t="shared" si="2"/>
        <v>150</v>
      </c>
      <c r="E16" s="10">
        <f t="shared" si="6"/>
        <v>300</v>
      </c>
      <c r="F16" s="10">
        <f t="shared" si="7"/>
        <v>3600</v>
      </c>
      <c r="G16" s="10">
        <f t="shared" si="8"/>
        <v>4050</v>
      </c>
      <c r="H16" s="10">
        <f t="shared" si="16"/>
        <v>2025</v>
      </c>
      <c r="I16" s="10">
        <f t="shared" si="9"/>
        <v>4500</v>
      </c>
      <c r="J16" s="5">
        <f t="shared" si="17"/>
        <v>1500</v>
      </c>
      <c r="K16" s="10">
        <f t="shared" si="10"/>
        <v>600</v>
      </c>
      <c r="L16" s="6">
        <f t="shared" si="11"/>
        <v>0.2</v>
      </c>
      <c r="M16" s="10">
        <f t="shared" si="12"/>
        <v>1050</v>
      </c>
      <c r="N16" s="6">
        <f t="shared" si="13"/>
        <v>0.35</v>
      </c>
      <c r="O16" s="10">
        <f t="shared" si="14"/>
        <v>1500</v>
      </c>
      <c r="P16" s="6">
        <f t="shared" si="15"/>
        <v>0.5</v>
      </c>
    </row>
    <row r="17" spans="1:16" x14ac:dyDescent="0.35">
      <c r="A17" s="10">
        <v>3500</v>
      </c>
      <c r="B17" s="12">
        <f t="shared" si="0"/>
        <v>87.5</v>
      </c>
      <c r="C17" s="10">
        <f t="shared" si="5"/>
        <v>175</v>
      </c>
      <c r="D17" s="10">
        <f t="shared" si="2"/>
        <v>175</v>
      </c>
      <c r="E17" s="10">
        <f t="shared" si="6"/>
        <v>350</v>
      </c>
      <c r="F17" s="10">
        <f t="shared" si="7"/>
        <v>4200</v>
      </c>
      <c r="G17" s="10">
        <f t="shared" si="8"/>
        <v>4725</v>
      </c>
      <c r="H17" s="10">
        <f t="shared" si="16"/>
        <v>2362.5</v>
      </c>
      <c r="I17" s="10">
        <f t="shared" si="9"/>
        <v>5250</v>
      </c>
      <c r="J17" s="5">
        <f t="shared" si="17"/>
        <v>1750</v>
      </c>
      <c r="K17" s="10">
        <f t="shared" si="10"/>
        <v>700</v>
      </c>
      <c r="L17" s="6">
        <f t="shared" si="11"/>
        <v>0.2</v>
      </c>
      <c r="M17" s="10">
        <f t="shared" si="12"/>
        <v>1225</v>
      </c>
      <c r="N17" s="6">
        <f t="shared" si="13"/>
        <v>0.35</v>
      </c>
      <c r="O17" s="10">
        <f t="shared" si="14"/>
        <v>1750</v>
      </c>
      <c r="P17" s="6">
        <f t="shared" si="15"/>
        <v>0.5</v>
      </c>
    </row>
    <row r="18" spans="1:16" x14ac:dyDescent="0.35">
      <c r="A18" s="10">
        <v>4000</v>
      </c>
      <c r="B18" s="12">
        <f t="shared" si="0"/>
        <v>100</v>
      </c>
      <c r="C18" s="10">
        <f t="shared" si="5"/>
        <v>200</v>
      </c>
      <c r="D18" s="10">
        <f t="shared" si="2"/>
        <v>200</v>
      </c>
      <c r="E18" s="10">
        <f t="shared" si="6"/>
        <v>400</v>
      </c>
      <c r="F18" s="10">
        <f t="shared" si="7"/>
        <v>4800</v>
      </c>
      <c r="G18" s="10">
        <f t="shared" si="8"/>
        <v>5400</v>
      </c>
      <c r="H18" s="10">
        <f t="shared" si="16"/>
        <v>2700</v>
      </c>
      <c r="I18" s="10">
        <f t="shared" si="9"/>
        <v>6000</v>
      </c>
      <c r="J18" s="5">
        <f t="shared" si="17"/>
        <v>2000</v>
      </c>
      <c r="K18" s="10">
        <f t="shared" si="10"/>
        <v>800</v>
      </c>
      <c r="L18" s="6">
        <f t="shared" si="11"/>
        <v>0.2</v>
      </c>
      <c r="M18" s="10">
        <f t="shared" si="12"/>
        <v>1400</v>
      </c>
      <c r="N18" s="6">
        <f t="shared" si="13"/>
        <v>0.35</v>
      </c>
      <c r="O18" s="10">
        <f t="shared" si="14"/>
        <v>2000</v>
      </c>
      <c r="P18" s="6">
        <f t="shared" si="15"/>
        <v>0.5</v>
      </c>
    </row>
    <row r="19" spans="1:16" x14ac:dyDescent="0.35">
      <c r="A19" s="10">
        <v>4500</v>
      </c>
      <c r="B19" s="12">
        <f t="shared" si="0"/>
        <v>112.5</v>
      </c>
      <c r="C19" s="10">
        <f t="shared" si="5"/>
        <v>225</v>
      </c>
      <c r="D19" s="10">
        <f t="shared" si="2"/>
        <v>225</v>
      </c>
      <c r="E19" s="10">
        <f t="shared" si="6"/>
        <v>450</v>
      </c>
      <c r="F19" s="10">
        <f t="shared" si="7"/>
        <v>5400</v>
      </c>
      <c r="G19" s="10">
        <f t="shared" si="8"/>
        <v>6075</v>
      </c>
      <c r="H19" s="10">
        <f t="shared" si="16"/>
        <v>3037.5</v>
      </c>
      <c r="I19" s="10">
        <f t="shared" si="9"/>
        <v>6750</v>
      </c>
      <c r="J19" s="5">
        <f t="shared" si="17"/>
        <v>2250</v>
      </c>
      <c r="K19" s="10">
        <f t="shared" si="10"/>
        <v>900</v>
      </c>
      <c r="L19" s="6">
        <f t="shared" si="11"/>
        <v>0.2</v>
      </c>
      <c r="M19" s="10">
        <f t="shared" si="12"/>
        <v>1575</v>
      </c>
      <c r="N19" s="6">
        <f t="shared" si="13"/>
        <v>0.35</v>
      </c>
      <c r="O19" s="10">
        <f t="shared" si="14"/>
        <v>2250</v>
      </c>
      <c r="P19" s="6">
        <f t="shared" si="15"/>
        <v>0.5</v>
      </c>
    </row>
    <row r="20" spans="1:16" x14ac:dyDescent="0.35">
      <c r="A20" s="10">
        <v>5000</v>
      </c>
      <c r="B20" s="12">
        <f t="shared" si="0"/>
        <v>125</v>
      </c>
      <c r="C20" s="10">
        <f t="shared" si="5"/>
        <v>250</v>
      </c>
      <c r="D20" s="10">
        <f t="shared" si="2"/>
        <v>250</v>
      </c>
      <c r="E20" s="10">
        <f t="shared" si="6"/>
        <v>500</v>
      </c>
      <c r="F20" s="10">
        <f t="shared" si="7"/>
        <v>6000</v>
      </c>
      <c r="G20" s="10">
        <f t="shared" si="8"/>
        <v>6750</v>
      </c>
      <c r="H20" s="10">
        <f t="shared" si="16"/>
        <v>3375</v>
      </c>
      <c r="I20" s="10">
        <f t="shared" si="9"/>
        <v>7500</v>
      </c>
      <c r="J20" s="5">
        <f t="shared" si="17"/>
        <v>2500</v>
      </c>
      <c r="K20" s="10">
        <f t="shared" si="10"/>
        <v>1000</v>
      </c>
      <c r="L20" s="11">
        <f t="shared" si="11"/>
        <v>0.2</v>
      </c>
      <c r="M20" s="10">
        <f t="shared" si="12"/>
        <v>1750</v>
      </c>
      <c r="N20" s="6">
        <f t="shared" si="13"/>
        <v>0.35</v>
      </c>
      <c r="O20" s="10">
        <f t="shared" si="14"/>
        <v>2500</v>
      </c>
      <c r="P20" s="6">
        <f t="shared" si="15"/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4F22-DCF6-4226-B003-2513BB5E6B7C}">
  <dimension ref="A1:B5"/>
  <sheetViews>
    <sheetView workbookViewId="0">
      <selection activeCell="B8" sqref="B8"/>
    </sheetView>
  </sheetViews>
  <sheetFormatPr defaultRowHeight="14.5" x14ac:dyDescent="0.35"/>
  <cols>
    <col min="1" max="1" width="18.54296875" customWidth="1"/>
    <col min="2" max="2" width="16.6328125" customWidth="1"/>
  </cols>
  <sheetData>
    <row r="1" spans="1:2" x14ac:dyDescent="0.35">
      <c r="A1" t="s">
        <v>1</v>
      </c>
      <c r="B1" t="s">
        <v>6</v>
      </c>
    </row>
    <row r="2" spans="1:2" x14ac:dyDescent="0.35">
      <c r="A2" t="s">
        <v>2</v>
      </c>
      <c r="B2" t="s">
        <v>7</v>
      </c>
    </row>
    <row r="3" spans="1:2" x14ac:dyDescent="0.35">
      <c r="A3" t="s">
        <v>3</v>
      </c>
      <c r="B3" t="s">
        <v>10</v>
      </c>
    </row>
    <row r="4" spans="1:2" x14ac:dyDescent="0.35">
      <c r="A4" t="s">
        <v>4</v>
      </c>
      <c r="B4" t="s">
        <v>8</v>
      </c>
    </row>
    <row r="5" spans="1:2" x14ac:dyDescent="0.35">
      <c r="A5" t="s">
        <v>5</v>
      </c>
      <c r="B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4296-B2E6-4BD3-87B2-152443D11589}">
  <dimension ref="A1:C39"/>
  <sheetViews>
    <sheetView topLeftCell="A46" workbookViewId="0">
      <selection activeCell="A41" sqref="A41"/>
    </sheetView>
  </sheetViews>
  <sheetFormatPr defaultRowHeight="14.5" x14ac:dyDescent="0.35"/>
  <cols>
    <col min="1" max="1" width="39.90625" customWidth="1"/>
    <col min="2" max="2" width="14.36328125" customWidth="1"/>
    <col min="3" max="3" width="26.08984375" customWidth="1"/>
  </cols>
  <sheetData>
    <row r="1" spans="1:3" x14ac:dyDescent="0.35">
      <c r="A1" t="s">
        <v>16</v>
      </c>
    </row>
    <row r="2" spans="1:3" x14ac:dyDescent="0.35">
      <c r="A2" t="s">
        <v>11</v>
      </c>
    </row>
    <row r="4" spans="1:3" x14ac:dyDescent="0.35">
      <c r="A4" t="s">
        <v>12</v>
      </c>
    </row>
    <row r="5" spans="1:3" x14ac:dyDescent="0.35">
      <c r="A5" t="s">
        <v>2</v>
      </c>
      <c r="B5" s="1">
        <v>150</v>
      </c>
    </row>
    <row r="6" spans="1:3" x14ac:dyDescent="0.35">
      <c r="A6" t="s">
        <v>13</v>
      </c>
      <c r="B6" s="1">
        <v>365</v>
      </c>
    </row>
    <row r="7" spans="1:3" x14ac:dyDescent="0.35">
      <c r="A7" t="s">
        <v>14</v>
      </c>
      <c r="B7" s="1">
        <v>60</v>
      </c>
    </row>
    <row r="8" spans="1:3" x14ac:dyDescent="0.35">
      <c r="A8" t="s">
        <v>15</v>
      </c>
      <c r="B8" s="1">
        <v>575</v>
      </c>
    </row>
    <row r="10" spans="1:3" x14ac:dyDescent="0.35">
      <c r="A10" t="s">
        <v>16</v>
      </c>
    </row>
    <row r="11" spans="1:3" x14ac:dyDescent="0.35">
      <c r="A11" t="s">
        <v>18</v>
      </c>
    </row>
    <row r="12" spans="1:3" x14ac:dyDescent="0.35">
      <c r="A12" t="s">
        <v>19</v>
      </c>
    </row>
    <row r="13" spans="1:3" x14ac:dyDescent="0.35">
      <c r="A13" t="s">
        <v>20</v>
      </c>
      <c r="B13" s="1">
        <v>1725</v>
      </c>
      <c r="C13" t="s">
        <v>30</v>
      </c>
    </row>
    <row r="15" spans="1:3" x14ac:dyDescent="0.35">
      <c r="A15" t="s">
        <v>21</v>
      </c>
      <c r="B15" s="2">
        <v>172500</v>
      </c>
      <c r="C15" t="s">
        <v>22</v>
      </c>
    </row>
    <row r="17" spans="1:3" x14ac:dyDescent="0.35">
      <c r="A17" t="s">
        <v>17</v>
      </c>
    </row>
    <row r="18" spans="1:3" x14ac:dyDescent="0.35">
      <c r="A18" t="s">
        <v>23</v>
      </c>
    </row>
    <row r="19" spans="1:3" x14ac:dyDescent="0.35">
      <c r="A19" t="s">
        <v>24</v>
      </c>
    </row>
    <row r="20" spans="1:3" x14ac:dyDescent="0.35">
      <c r="A20" t="s">
        <v>2</v>
      </c>
      <c r="B20" s="1">
        <v>450</v>
      </c>
    </row>
    <row r="21" spans="1:3" x14ac:dyDescent="0.35">
      <c r="A21" t="s">
        <v>13</v>
      </c>
      <c r="B21" s="1">
        <v>365</v>
      </c>
    </row>
    <row r="22" spans="1:3" x14ac:dyDescent="0.35">
      <c r="A22" t="s">
        <v>25</v>
      </c>
      <c r="B22">
        <v>180</v>
      </c>
    </row>
    <row r="23" spans="1:3" x14ac:dyDescent="0.35">
      <c r="A23" t="s">
        <v>26</v>
      </c>
      <c r="B23" s="1">
        <v>995</v>
      </c>
      <c r="C23" t="s">
        <v>27</v>
      </c>
    </row>
    <row r="25" spans="1:3" x14ac:dyDescent="0.35">
      <c r="A25" t="s">
        <v>28</v>
      </c>
      <c r="B25" s="1">
        <v>99500</v>
      </c>
      <c r="C25" t="s">
        <v>29</v>
      </c>
    </row>
    <row r="28" spans="1:3" x14ac:dyDescent="0.35">
      <c r="A28" t="s">
        <v>31</v>
      </c>
    </row>
    <row r="29" spans="1:3" x14ac:dyDescent="0.35">
      <c r="A29" t="s">
        <v>32</v>
      </c>
      <c r="C29" t="s">
        <v>35</v>
      </c>
    </row>
    <row r="30" spans="1:3" x14ac:dyDescent="0.35">
      <c r="A30" t="s">
        <v>33</v>
      </c>
      <c r="C30" s="1">
        <v>172500</v>
      </c>
    </row>
    <row r="31" spans="1:3" x14ac:dyDescent="0.35">
      <c r="A31" t="s">
        <v>34</v>
      </c>
      <c r="C31" s="1">
        <v>99500</v>
      </c>
    </row>
    <row r="33" spans="1:3" x14ac:dyDescent="0.35">
      <c r="A33" t="s">
        <v>36</v>
      </c>
    </row>
    <row r="34" spans="1:3" x14ac:dyDescent="0.35">
      <c r="A34" t="s">
        <v>37</v>
      </c>
      <c r="C34" t="s">
        <v>38</v>
      </c>
    </row>
    <row r="35" spans="1:3" x14ac:dyDescent="0.35">
      <c r="A35" s="3" t="s">
        <v>39</v>
      </c>
      <c r="C35" t="s">
        <v>44</v>
      </c>
    </row>
    <row r="36" spans="1:3" x14ac:dyDescent="0.35">
      <c r="A36" s="3" t="s">
        <v>40</v>
      </c>
      <c r="C36" t="s">
        <v>45</v>
      </c>
    </row>
    <row r="37" spans="1:3" x14ac:dyDescent="0.35">
      <c r="A37" s="4" t="s">
        <v>41</v>
      </c>
      <c r="C37" t="s">
        <v>46</v>
      </c>
    </row>
    <row r="38" spans="1:3" x14ac:dyDescent="0.35">
      <c r="A38" s="4" t="s">
        <v>42</v>
      </c>
      <c r="C38" t="s">
        <v>47</v>
      </c>
    </row>
    <row r="39" spans="1:3" x14ac:dyDescent="0.35">
      <c r="A39" s="4" t="s">
        <v>43</v>
      </c>
      <c r="C3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Gugulethu Dube</dc:creator>
  <cp:lastModifiedBy>BARD MEDIA 3</cp:lastModifiedBy>
  <dcterms:created xsi:type="dcterms:W3CDTF">2026-02-19T09:51:58Z</dcterms:created>
  <dcterms:modified xsi:type="dcterms:W3CDTF">2026-03-16T13:25:01Z</dcterms:modified>
</cp:coreProperties>
</file>